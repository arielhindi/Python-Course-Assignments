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" sheetId="1" r:id="rId1"/>
    <sheet name="Samples" sheetId="2" r:id="rId2"/>
  </sheets>
  <calcPr calcId="124519" fullCalcOnLoad="1"/>
</workbook>
</file>

<file path=xl/sharedStrings.xml><?xml version="1.0" encoding="utf-8"?>
<sst xmlns="http://schemas.openxmlformats.org/spreadsheetml/2006/main" count="45" uniqueCount="45">
  <si>
    <t>Concentration</t>
  </si>
  <si>
    <t>MeanAbs</t>
  </si>
  <si>
    <t>MeanAbs_blank_sub</t>
  </si>
  <si>
    <t>Well</t>
  </si>
  <si>
    <t>Absorbance</t>
  </si>
  <si>
    <t>Abs_blank_sub</t>
  </si>
  <si>
    <t>Estimated_Conc</t>
  </si>
  <si>
    <t>A6</t>
  </si>
  <si>
    <t>A7</t>
  </si>
  <si>
    <t>B6</t>
  </si>
  <si>
    <t>B7</t>
  </si>
  <si>
    <t>C1</t>
  </si>
  <si>
    <t>C2</t>
  </si>
  <si>
    <t>C3</t>
  </si>
  <si>
    <t>C4</t>
  </si>
  <si>
    <t>C5</t>
  </si>
  <si>
    <t>C6</t>
  </si>
  <si>
    <t>C7</t>
  </si>
  <si>
    <t>D1</t>
  </si>
  <si>
    <t>D2</t>
  </si>
  <si>
    <t>D3</t>
  </si>
  <si>
    <t>D4</t>
  </si>
  <si>
    <t>D5</t>
  </si>
  <si>
    <t>D6</t>
  </si>
  <si>
    <t>D7</t>
  </si>
  <si>
    <t>E1</t>
  </si>
  <si>
    <t>E2</t>
  </si>
  <si>
    <t>E3</t>
  </si>
  <si>
    <t>E4</t>
  </si>
  <si>
    <t>E5</t>
  </si>
  <si>
    <t>E6</t>
  </si>
  <si>
    <t>E7</t>
  </si>
  <si>
    <t>F1</t>
  </si>
  <si>
    <t>F2</t>
  </si>
  <si>
    <t>F3</t>
  </si>
  <si>
    <t>F4</t>
  </si>
  <si>
    <t>F5</t>
  </si>
  <si>
    <t>F6</t>
  </si>
  <si>
    <t>F7</t>
  </si>
  <si>
    <t>Slope (m)</t>
  </si>
  <si>
    <t>Intercept (b)</t>
  </si>
  <si>
    <t>R^2</t>
  </si>
  <si>
    <t>Blank mean</t>
  </si>
  <si>
    <t>Fitted function</t>
  </si>
  <si>
    <t>y = 0.000416887958*x + -0.0237504043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</si>
</sst>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Calibration (R^2=0.996)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Standards</c:v>
          </c:tx>
          <c:marker>
            <c:symbol val="circle"/>
            <c:size val="6"/>
          </c:marker>
          <c:xVal>
            <c:numRef>
              <c:f>Calibration!$A$2:$A$6</c:f>
              <c:numCache>
                <c:formatCode>General</c:formatCode>
                <c:ptCount val="5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250</c:v>
                </c:pt>
                <c:pt idx="4">
                  <c:v>25</c:v>
                </c:pt>
              </c:numCache>
            </c:numRef>
          </c:xVal>
          <c:yVal>
            <c:numRef>
              <c:f>Calibration!$C$2:$C$6</c:f>
              <c:numCache>
                <c:formatCode>General</c:formatCode>
                <c:ptCount val="5"/>
                <c:pt idx="0">
                  <c:v>0.8004000186920166</c:v>
                </c:pt>
                <c:pt idx="1">
                  <c:v>0.4132000207901001</c:v>
                </c:pt>
                <c:pt idx="2">
                  <c:v>0.1974000036716461</c:v>
                </c:pt>
                <c:pt idx="3">
                  <c:v>0.05119998753070831</c:v>
                </c:pt>
                <c:pt idx="4">
                  <c:v>-0.007200010120868683</c:v>
                </c:pt>
              </c:numCache>
            </c:numRef>
          </c:yVal>
        </c:ser>
        <c:ser>
          <c:idx val="1"/>
          <c:order val="1"/>
          <c:tx>
            <c:v>Fit</c:v>
          </c:tx>
          <c:spPr>
            <a:ln>
              <a:solidFill>
                <a:srgbClr val="FF0000"/>
              </a:solidFill>
            </a:ln>
          </c:spPr>
          <c:xVal>
            <c:numRef>
              <c:f>Calibration!$A$2:$A$6</c:f>
              <c:numCache>
                <c:formatCode>General</c:formatCode>
                <c:ptCount val="5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250</c:v>
                </c:pt>
                <c:pt idx="4">
                  <c:v>25</c:v>
                </c:pt>
              </c:numCache>
            </c:numRef>
          </c:xVal>
          <c:yVal>
            <c:numRef>
              <c:f>Calibration!$E$2:$E$6</c:f>
              <c:numCache>
                <c:formatCode>General</c:formatCode>
                <c:ptCount val="5"/>
                <c:pt idx="0">
                  <c:v>0.8100255121058364</c:v>
                </c:pt>
                <c:pt idx="1">
                  <c:v>0.393137553878434</c:v>
                </c:pt>
                <c:pt idx="2">
                  <c:v>0.1846935747647329</c:v>
                </c:pt>
                <c:pt idx="3">
                  <c:v>0.08047158520788228</c:v>
                </c:pt>
                <c:pt idx="4">
                  <c:v>-0.01332820539328324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Concentration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Absorbance (blank-subtracted)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</row>
    <row r="2" spans="1:5">
      <c r="A2">
        <v>2000</v>
      </c>
      <c r="B2">
        <v>1.062300026416779</v>
      </c>
      <c r="C2">
        <v>0.8004000186920166</v>
      </c>
      <c r="E2">
        <v>0.8100255121058364</v>
      </c>
    </row>
    <row r="3" spans="1:5">
      <c r="A3">
        <v>1000</v>
      </c>
      <c r="B3">
        <v>0.6751000285148621</v>
      </c>
      <c r="C3">
        <v>0.4132000207901001</v>
      </c>
      <c r="E3">
        <v>0.393137553878434</v>
      </c>
    </row>
    <row r="4" spans="1:5">
      <c r="A4">
        <v>500</v>
      </c>
      <c r="B4">
        <v>0.4593000113964081</v>
      </c>
      <c r="C4">
        <v>0.1974000036716461</v>
      </c>
      <c r="E4">
        <v>0.1846935747647329</v>
      </c>
    </row>
    <row r="5" spans="1:5">
      <c r="A5">
        <v>250</v>
      </c>
      <c r="B5">
        <v>0.3130999952554703</v>
      </c>
      <c r="C5">
        <v>0.05119998753070831</v>
      </c>
      <c r="E5">
        <v>0.08047158520788228</v>
      </c>
    </row>
    <row r="6" spans="1:5">
      <c r="A6">
        <v>25</v>
      </c>
      <c r="B6">
        <v>0.2546999976038933</v>
      </c>
      <c r="C6">
        <v>-0.007200010120868683</v>
      </c>
      <c r="E6">
        <v>-0.01332820539328324</v>
      </c>
    </row>
    <row r="9" spans="1:5">
      <c r="A9" t="s">
        <v>39</v>
      </c>
      <c r="B9">
        <v>0.0004168879582274023</v>
      </c>
    </row>
    <row r="10" spans="1:5">
      <c r="A10" t="s">
        <v>40</v>
      </c>
      <c r="B10">
        <v>-0.0237504043489683</v>
      </c>
    </row>
    <row r="11" spans="1:5">
      <c r="A11" t="s">
        <v>41</v>
      </c>
      <c r="B11">
        <v>0.9963897741225531</v>
      </c>
    </row>
    <row r="12" spans="1:5">
      <c r="A12" t="s">
        <v>42</v>
      </c>
      <c r="B12">
        <v>0.261900007724762</v>
      </c>
    </row>
    <row r="13" spans="1:5">
      <c r="A13" t="s">
        <v>43</v>
      </c>
      <c r="B13" t="s">
        <v>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  <row r="2" spans="1:4">
      <c r="A2" t="s">
        <v>7</v>
      </c>
      <c r="B2">
        <v>0.2592000067234039</v>
      </c>
      <c r="C2">
        <v>-0.002700001001358032</v>
      </c>
      <c r="D2">
        <f>(C2 - -0.0237504043489683) / 0.00041688795822740233</f>
        <v>0</v>
      </c>
    </row>
    <row r="3" spans="1:4">
      <c r="A3" t="s">
        <v>8</v>
      </c>
      <c r="D3">
        <f>(C3 - -0.0237504043489683) / 0.00041688795822740233</f>
        <v>0</v>
      </c>
    </row>
    <row r="4" spans="1:4">
      <c r="A4" t="s">
        <v>9</v>
      </c>
      <c r="B4">
        <v>0.26460000872612</v>
      </c>
      <c r="C4">
        <v>0.002700001001358032</v>
      </c>
      <c r="D4">
        <f>(C4 - -0.0237504043489683) / 0.00041688795822740233</f>
        <v>0</v>
      </c>
    </row>
    <row r="5" spans="1:4">
      <c r="A5" t="s">
        <v>10</v>
      </c>
      <c r="D5">
        <f>(C5 - -0.0237504043489683) / 0.00041688795822740233</f>
        <v>0</v>
      </c>
    </row>
    <row r="6" spans="1:4">
      <c r="A6" t="s">
        <v>11</v>
      </c>
      <c r="B6">
        <v>0.2949000000953674</v>
      </c>
      <c r="C6">
        <v>0.03299999237060547</v>
      </c>
      <c r="D6">
        <f>(C6 - -0.0237504043489683) / 0.00041688795822740233</f>
        <v>0</v>
      </c>
    </row>
    <row r="7" spans="1:4">
      <c r="A7" t="s">
        <v>12</v>
      </c>
      <c r="B7">
        <v>0.2671000063419342</v>
      </c>
      <c r="C7">
        <v>0.005199998617172241</v>
      </c>
      <c r="D7">
        <f>(C7 - -0.0237504043489683) / 0.00041688795822740233</f>
        <v>0</v>
      </c>
    </row>
    <row r="8" spans="1:4">
      <c r="A8" t="s">
        <v>13</v>
      </c>
      <c r="B8">
        <v>0.2942000031471252</v>
      </c>
      <c r="C8">
        <v>0.03229999542236328</v>
      </c>
      <c r="D8">
        <f>(C8 - -0.0237504043489683) / 0.00041688795822740233</f>
        <v>0</v>
      </c>
    </row>
    <row r="9" spans="1:4">
      <c r="A9" t="s">
        <v>14</v>
      </c>
      <c r="B9">
        <v>0.3939000070095062</v>
      </c>
      <c r="C9">
        <v>0.1319999992847443</v>
      </c>
      <c r="D9">
        <f>(C9 - -0.0237504043489683) / 0.00041688795822740233</f>
        <v>0</v>
      </c>
    </row>
    <row r="10" spans="1:4">
      <c r="A10" t="s">
        <v>15</v>
      </c>
      <c r="B10">
        <v>0.4282999932765961</v>
      </c>
      <c r="C10">
        <v>0.1663999855518341</v>
      </c>
      <c r="D10">
        <f>(C10 - -0.0237504043489683) / 0.00041688795822740233</f>
        <v>0</v>
      </c>
    </row>
    <row r="11" spans="1:4">
      <c r="A11" t="s">
        <v>16</v>
      </c>
      <c r="B11">
        <v>0.4383000135421753</v>
      </c>
      <c r="C11">
        <v>0.1764000058174133</v>
      </c>
      <c r="D11">
        <f>(C11 - -0.0237504043489683) / 0.00041688795822740233</f>
        <v>0</v>
      </c>
    </row>
    <row r="12" spans="1:4">
      <c r="A12" t="s">
        <v>17</v>
      </c>
      <c r="B12">
        <v>0.6331999897956848</v>
      </c>
      <c r="C12">
        <v>0.3712999820709229</v>
      </c>
      <c r="D12">
        <f>(C12 - -0.0237504043489683) / 0.00041688795822740233</f>
        <v>0</v>
      </c>
    </row>
    <row r="13" spans="1:4">
      <c r="A13" t="s">
        <v>18</v>
      </c>
      <c r="B13">
        <v>0.2741000056266785</v>
      </c>
      <c r="C13">
        <v>0.0121999979019165</v>
      </c>
      <c r="D13">
        <f>(C13 - -0.0237504043489683) / 0.00041688795822740233</f>
        <v>0</v>
      </c>
    </row>
    <row r="14" spans="1:4">
      <c r="A14" t="s">
        <v>19</v>
      </c>
      <c r="B14">
        <v>0.2897000014781952</v>
      </c>
      <c r="C14">
        <v>0.02779999375343323</v>
      </c>
      <c r="D14">
        <f>(C14 - -0.0237504043489683) / 0.00041688795822740233</f>
        <v>0</v>
      </c>
    </row>
    <row r="15" spans="1:4">
      <c r="A15" t="s">
        <v>20</v>
      </c>
      <c r="B15">
        <v>0.2971000075340271</v>
      </c>
      <c r="C15">
        <v>0.03519999980926514</v>
      </c>
      <c r="D15">
        <f>(C15 - -0.0237504043489683) / 0.00041688795822740233</f>
        <v>0</v>
      </c>
    </row>
    <row r="16" spans="1:4">
      <c r="A16" t="s">
        <v>21</v>
      </c>
      <c r="B16">
        <v>0.4120999872684479</v>
      </c>
      <c r="C16">
        <v>0.1501999795436859</v>
      </c>
      <c r="D16">
        <f>(C16 - -0.0237504043489683) / 0.00041688795822740233</f>
        <v>0</v>
      </c>
    </row>
    <row r="17" spans="1:4">
      <c r="A17" t="s">
        <v>22</v>
      </c>
      <c r="B17">
        <v>0.3684999942779541</v>
      </c>
      <c r="C17">
        <v>0.1065999865531921</v>
      </c>
      <c r="D17">
        <f>(C17 - -0.0237504043489683) / 0.00041688795822740233</f>
        <v>0</v>
      </c>
    </row>
    <row r="18" spans="1:4">
      <c r="A18" t="s">
        <v>23</v>
      </c>
      <c r="B18">
        <v>0.4797999858856201</v>
      </c>
      <c r="C18">
        <v>0.2178999781608582</v>
      </c>
      <c r="D18">
        <f>(C18 - -0.0237504043489683) / 0.00041688795822740233</f>
        <v>0</v>
      </c>
    </row>
    <row r="19" spans="1:4">
      <c r="A19" t="s">
        <v>24</v>
      </c>
      <c r="B19">
        <v>0.6628999710083008</v>
      </c>
      <c r="C19">
        <v>0.4009999632835388</v>
      </c>
      <c r="D19">
        <f>(C19 - -0.0237504043489683) / 0.00041688795822740233</f>
        <v>0</v>
      </c>
    </row>
    <row r="20" spans="1:4">
      <c r="A20" t="s">
        <v>25</v>
      </c>
      <c r="B20">
        <v>0.2822999954223633</v>
      </c>
      <c r="C20">
        <v>0.02039998769760132</v>
      </c>
      <c r="D20">
        <f>(C20 - -0.0237504043489683) / 0.00041688795822740233</f>
        <v>0</v>
      </c>
    </row>
    <row r="21" spans="1:4">
      <c r="A21" t="s">
        <v>26</v>
      </c>
      <c r="B21">
        <v>0.2901000082492828</v>
      </c>
      <c r="C21">
        <v>0.02820000052452087</v>
      </c>
      <c r="D21">
        <f>(C21 - -0.0237504043489683) / 0.00041688795822740233</f>
        <v>0</v>
      </c>
    </row>
    <row r="22" spans="1:4">
      <c r="A22" t="s">
        <v>27</v>
      </c>
      <c r="B22">
        <v>0.2958999872207642</v>
      </c>
      <c r="C22">
        <v>0.0339999794960022</v>
      </c>
      <c r="D22">
        <f>(C22 - -0.0237504043489683) / 0.00041688795822740233</f>
        <v>0</v>
      </c>
    </row>
    <row r="23" spans="1:4">
      <c r="A23" t="s">
        <v>28</v>
      </c>
      <c r="B23">
        <v>0.3930999934673309</v>
      </c>
      <c r="C23">
        <v>0.131199985742569</v>
      </c>
      <c r="D23">
        <f>(C23 - -0.0237504043489683) / 0.00041688795822740233</f>
        <v>0</v>
      </c>
    </row>
    <row r="24" spans="1:4">
      <c r="A24" t="s">
        <v>29</v>
      </c>
      <c r="B24">
        <v>0.4117999970912933</v>
      </c>
      <c r="C24">
        <v>0.1498999893665314</v>
      </c>
      <c r="D24">
        <f>(C24 - -0.0237504043489683) / 0.00041688795822740233</f>
        <v>0</v>
      </c>
    </row>
    <row r="25" spans="1:4">
      <c r="A25" t="s">
        <v>30</v>
      </c>
      <c r="B25">
        <v>0.5320000052452087</v>
      </c>
      <c r="C25">
        <v>0.2700999975204468</v>
      </c>
      <c r="D25">
        <f>(C25 - -0.0237504043489683) / 0.00041688795822740233</f>
        <v>0</v>
      </c>
    </row>
    <row r="26" spans="1:4">
      <c r="A26" t="s">
        <v>31</v>
      </c>
      <c r="B26">
        <v>0.5993000268936157</v>
      </c>
      <c r="C26">
        <v>0.3374000191688538</v>
      </c>
      <c r="D26">
        <f>(C26 - -0.0237504043489683) / 0.00041688795822740233</f>
        <v>0</v>
      </c>
    </row>
    <row r="27" spans="1:4">
      <c r="A27" t="s">
        <v>32</v>
      </c>
      <c r="B27">
        <v>0.3745000064373016</v>
      </c>
      <c r="C27">
        <v>0.1125999987125397</v>
      </c>
      <c r="D27">
        <f>(C27 - -0.0237504043489683) / 0.00041688795822740233</f>
        <v>0</v>
      </c>
    </row>
    <row r="28" spans="1:4">
      <c r="A28" t="s">
        <v>33</v>
      </c>
      <c r="B28">
        <v>0.2748999893665314</v>
      </c>
      <c r="C28">
        <v>0.01299998164176941</v>
      </c>
      <c r="D28">
        <f>(C28 - -0.0237504043489683) / 0.00041688795822740233</f>
        <v>0</v>
      </c>
    </row>
    <row r="29" spans="1:4">
      <c r="A29" t="s">
        <v>34</v>
      </c>
      <c r="B29">
        <v>0.2910999953746796</v>
      </c>
      <c r="C29">
        <v>0.0291999876499176</v>
      </c>
      <c r="D29">
        <f>(C29 - -0.0237504043489683) / 0.00041688795822740233</f>
        <v>0</v>
      </c>
    </row>
    <row r="30" spans="1:4">
      <c r="A30" t="s">
        <v>35</v>
      </c>
      <c r="B30">
        <v>0.3716000020503998</v>
      </c>
      <c r="C30">
        <v>0.1096999943256378</v>
      </c>
      <c r="D30">
        <f>(C30 - -0.0237504043489683) / 0.00041688795822740233</f>
        <v>0</v>
      </c>
    </row>
    <row r="31" spans="1:4">
      <c r="A31" t="s">
        <v>36</v>
      </c>
      <c r="B31">
        <v>0.335999995470047</v>
      </c>
      <c r="C31">
        <v>0.07409998774528503</v>
      </c>
      <c r="D31">
        <f>(C31 - -0.0237504043489683) / 0.00041688795822740233</f>
        <v>0</v>
      </c>
    </row>
    <row r="32" spans="1:4">
      <c r="A32" t="s">
        <v>37</v>
      </c>
      <c r="B32">
        <v>0.3501000106334686</v>
      </c>
      <c r="C32">
        <v>0.08820000290870667</v>
      </c>
      <c r="D32">
        <f>(C32 - -0.0237504043489683) / 0.00041688795822740233</f>
        <v>0</v>
      </c>
    </row>
    <row r="33" spans="1:4">
      <c r="A33" t="s">
        <v>38</v>
      </c>
      <c r="B33">
        <v>0.5827999711036682</v>
      </c>
      <c r="C33">
        <v>0.3208999633789062</v>
      </c>
      <c r="D33">
        <f>(C33 - -0.0237504043489683) / 0.00041688795822740233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</vt:lpstr>
      <vt:lpstr>Samples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2026-01-11T17:52:35Z</dcterms:created>
  <dcterms:modified xsi:type="dcterms:W3CDTF">2026-01-11T17:52:35Z</dcterms:modified>
</cp:coreProperties>
</file>